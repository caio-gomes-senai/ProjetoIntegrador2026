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<sst xmlns="http://schemas.openxmlformats.org/spreadsheetml/2006/main" count="109" uniqueCount="60">
  <si>
    <t>Plano de Testes</t>
  </si>
  <si>
    <t>Status</t>
  </si>
  <si>
    <t>Testar conexão do ESP8266 com o Wi-Fi</t>
  </si>
  <si>
    <t>ok</t>
  </si>
  <si>
    <t>Testar conexão do ESP8266 com o broker MQTT</t>
  </si>
  <si>
    <t>Testar envio de dados de temperatura pelo ESP8266</t>
  </si>
  <si>
    <t>Testar envio de dados de umidade pelo ESP8266</t>
  </si>
  <si>
    <t>Testar leitura do cartão RFID no ESP8266</t>
  </si>
  <si>
    <t>Testar envio do UID do RFID via MQTT</t>
  </si>
  <si>
    <t>Data</t>
  </si>
  <si>
    <t>Responsavel:</t>
  </si>
  <si>
    <t>Observação</t>
  </si>
  <si>
    <t>Caio Gomes</t>
  </si>
  <si>
    <t>Abrindo Chamado para tratar o envio do RFDI</t>
  </si>
  <si>
    <t>Testar recebimento dos dados no Node-RED</t>
  </si>
  <si>
    <t>Testar tratamento dos dados de temperatura no Node-RED</t>
  </si>
  <si>
    <t>Testar validação da faixa de temperatura</t>
  </si>
  <si>
    <t>Testar recebimento e processamento do UID do RFID</t>
  </si>
  <si>
    <t xml:space="preserve">Links Rapidos </t>
  </si>
  <si>
    <t>Testar validação do RFID no banco de dados</t>
  </si>
  <si>
    <t>Documentação Conexões</t>
  </si>
  <si>
    <t>Documentação RFDI</t>
  </si>
  <si>
    <t>Acessar</t>
  </si>
  <si>
    <t>Testar inserção das leituras na tabela sensores</t>
  </si>
  <si>
    <t>Documentação Fluxo NodeRed</t>
  </si>
  <si>
    <t>Testar inserção dos registros na tabela acessos</t>
  </si>
  <si>
    <t>Documentação API</t>
  </si>
  <si>
    <t>Testar consulta de usuários no banco de dados</t>
  </si>
  <si>
    <t>Documentação Circuito</t>
  </si>
  <si>
    <t>Testar relação entre usuários e produtos</t>
  </si>
  <si>
    <t>Documentação CRUD</t>
  </si>
  <si>
    <t>Testar funcionamento dos endpoints da API</t>
  </si>
  <si>
    <t>Sugestões Melhorias Testes</t>
  </si>
  <si>
    <t>Testar endpoint de temperatura atual</t>
  </si>
  <si>
    <t>Documentação Conexões (ESP com Wifi, etc.)</t>
  </si>
  <si>
    <t>Testar endpoint de histórico de temperaturas</t>
  </si>
  <si>
    <t>Documentação Circuito Eletrico para montagem rapida</t>
  </si>
  <si>
    <t>Testar endpoint de acessos</t>
  </si>
  <si>
    <t>Documentação do Fluxo completo no NodeRed</t>
  </si>
  <si>
    <t>Testar endpoints de CRUD de usuários</t>
  </si>
  <si>
    <t>Testar endpoints de CRUD de produtos</t>
  </si>
  <si>
    <t>Testar cadastro de usuário com UID RFID</t>
  </si>
  <si>
    <t>Testar edição de usuário</t>
  </si>
  <si>
    <t>Testar exclusão de usuário</t>
  </si>
  <si>
    <t>Testar cadastro de produto</t>
  </si>
  <si>
    <t>Testar edição de produto</t>
  </si>
  <si>
    <t>Testar exclusão de produto</t>
  </si>
  <si>
    <t>Testar carregamento do dashboard no frontend</t>
  </si>
  <si>
    <t>Testar exibição da temperatura atual</t>
  </si>
  <si>
    <t>Testar exibição do histórico de temperaturas</t>
  </si>
  <si>
    <t>Testar exibição dos registros de acesso</t>
  </si>
  <si>
    <t>Testar integração do frontend com a API</t>
  </si>
  <si>
    <t>Testar identificação por RFID</t>
  </si>
  <si>
    <t>Testar acesso liberado para usuário cadastrado</t>
  </si>
  <si>
    <t>Testar acesso negado para cartão não cadastrado</t>
  </si>
  <si>
    <t>Testar funcionamento completo do sistema</t>
  </si>
  <si>
    <t>Testar fluxo completo do sensor até o dashboard</t>
  </si>
  <si>
    <t>Testar fluxo completo do RFID até o registro de acesso</t>
  </si>
  <si>
    <t>Validar funcionamento em rede local</t>
  </si>
  <si>
    <t>Validar estabilidade durante apresentação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</si>
</sst>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/>
    </xf>
    <xf borderId="4" fillId="0" fontId="2" numFmtId="0" xfId="0" applyBorder="1" applyFont="1"/>
    <xf borderId="4" fillId="0" fontId="4" numFmtId="0" xfId="0" applyAlignment="1" applyBorder="1" applyFont="1">
      <alignment readingOrder="0"/>
    </xf>
    <xf borderId="2" fillId="6" fontId="1" numFmtId="0" xfId="0" applyAlignment="1" applyBorder="1" applyFill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2"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1giQvDS1GwtMw5eByp1oqETIX-4sMW8yp0-iGNQMoMs/edit?usp=sharing" TargetMode="External"/><Relationship Id="rId2" Type="http://schemas.openxmlformats.org/officeDocument/2006/relationships/hyperlink" Target="https://docs.google.com/document/d/1LvcIRhxqqvCq33YmyCbjwKW6dvjYPSyd/edit?usp=sharing&amp;ouid=116128124380394162886&amp;rtpof=true&amp;sd=true" TargetMode="External"/><Relationship Id="rId3" Type="http://schemas.openxmlformats.org/officeDocument/2006/relationships/hyperlink" Target="https://docs.google.com/document/d/16a5C7sGnRavXUK7JYNDJS4qxsq1Ddnad/edit?usp=sharing&amp;ouid=116128124380394162886&amp;rtpof=true&amp;sd=tru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6" max="6" width="15.3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  <c r="F2" s="4" t="str">
        <f>"Progresso: "&amp;TEXT(COUNTIF(B2:B49,"ok")/COUNTA(B2:B49),"0%")</f>
        <v>Progresso: 100%</v>
      </c>
    </row>
    <row r="3">
      <c r="A3" s="2" t="s">
        <v>4</v>
      </c>
      <c r="B3" s="3" t="s">
        <v>3</v>
      </c>
      <c r="F3" s="5" t="str">
        <f>"BUG: "&amp;COUNTIF(B2:B49,"erro")</f>
        <v>BUG: 0</v>
      </c>
    </row>
    <row r="4">
      <c r="A4" s="2" t="s">
        <v>5</v>
      </c>
      <c r="B4" s="3" t="s">
        <v>3</v>
      </c>
      <c r="F4" s="6" t="str">
        <f>"OK: "&amp;COUNTIF(B2:B49,"ok")</f>
        <v>OK: 48</v>
      </c>
    </row>
    <row r="5">
      <c r="A5" s="2" t="s">
        <v>6</v>
      </c>
      <c r="B5" s="3" t="s">
        <v>3</v>
      </c>
    </row>
    <row r="6">
      <c r="A6" s="2" t="s">
        <v>7</v>
      </c>
      <c r="B6" s="3" t="s">
        <v>3</v>
      </c>
    </row>
    <row r="7">
      <c r="A7" s="2" t="s">
        <v>8</v>
      </c>
      <c r="B7" s="3" t="s">
        <v>3</v>
      </c>
      <c r="F7" s="7" t="s">
        <v>9</v>
      </c>
      <c r="G7" s="7" t="s">
        <v>10</v>
      </c>
      <c r="H7" s="8" t="s">
        <v>11</v>
      </c>
      <c r="I7" s="9"/>
      <c r="J7" s="10"/>
    </row>
    <row r="8">
      <c r="A8" s="11"/>
      <c r="B8" s="3" t="s">
        <v>3</v>
      </c>
      <c r="F8" s="12">
        <v>46104.0</v>
      </c>
      <c r="G8" s="2" t="s">
        <v>12</v>
      </c>
      <c r="H8" s="13" t="s">
        <v>13</v>
      </c>
      <c r="I8" s="9"/>
      <c r="J8" s="10"/>
    </row>
    <row r="9">
      <c r="A9" s="2" t="s">
        <v>14</v>
      </c>
      <c r="B9" s="3" t="s">
        <v>3</v>
      </c>
      <c r="F9" s="11"/>
      <c r="G9" s="11"/>
      <c r="H9" s="14"/>
      <c r="I9" s="9"/>
      <c r="J9" s="10"/>
    </row>
    <row r="10">
      <c r="A10" s="2" t="s">
        <v>15</v>
      </c>
      <c r="B10" s="3" t="s">
        <v>3</v>
      </c>
      <c r="F10" s="11"/>
      <c r="G10" s="11"/>
      <c r="H10" s="14"/>
      <c r="I10" s="9"/>
      <c r="J10" s="10"/>
    </row>
    <row r="11">
      <c r="A11" s="2" t="s">
        <v>16</v>
      </c>
      <c r="B11" s="3" t="s">
        <v>3</v>
      </c>
    </row>
    <row r="12">
      <c r="A12" s="2" t="s">
        <v>17</v>
      </c>
      <c r="B12" s="3" t="s">
        <v>3</v>
      </c>
      <c r="F12" s="8" t="s">
        <v>18</v>
      </c>
      <c r="G12" s="9"/>
      <c r="H12" s="10"/>
    </row>
    <row r="13">
      <c r="A13" s="2" t="s">
        <v>19</v>
      </c>
      <c r="B13" s="3" t="s">
        <v>3</v>
      </c>
      <c r="F13" s="15" t="s">
        <v>20</v>
      </c>
      <c r="G13" s="9"/>
      <c r="H13" s="16"/>
    </row>
    <row r="14">
      <c r="A14" s="11"/>
      <c r="B14" s="3" t="s">
        <v>3</v>
      </c>
      <c r="F14" s="15" t="s">
        <v>21</v>
      </c>
      <c r="G14" s="9"/>
      <c r="H14" s="17" t="s">
        <v>22</v>
      </c>
    </row>
    <row r="15">
      <c r="A15" s="2" t="s">
        <v>23</v>
      </c>
      <c r="B15" s="3" t="s">
        <v>3</v>
      </c>
      <c r="F15" s="15" t="s">
        <v>24</v>
      </c>
      <c r="G15" s="9"/>
      <c r="H15" s="16"/>
    </row>
    <row r="16">
      <c r="A16" s="2" t="s">
        <v>25</v>
      </c>
      <c r="B16" s="3" t="s">
        <v>3</v>
      </c>
      <c r="F16" s="15" t="s">
        <v>26</v>
      </c>
      <c r="G16" s="9"/>
      <c r="H16" s="17" t="s">
        <v>22</v>
      </c>
    </row>
    <row r="17">
      <c r="A17" s="2" t="s">
        <v>27</v>
      </c>
      <c r="B17" s="3" t="s">
        <v>3</v>
      </c>
      <c r="F17" s="15" t="s">
        <v>28</v>
      </c>
      <c r="G17" s="9"/>
      <c r="H17" s="16"/>
    </row>
    <row r="18">
      <c r="A18" s="2" t="s">
        <v>29</v>
      </c>
      <c r="B18" s="3" t="s">
        <v>3</v>
      </c>
      <c r="F18" s="15" t="s">
        <v>30</v>
      </c>
      <c r="G18" s="9"/>
      <c r="H18" s="17" t="s">
        <v>22</v>
      </c>
    </row>
    <row r="19">
      <c r="A19" s="11"/>
      <c r="B19" s="3" t="s">
        <v>3</v>
      </c>
    </row>
    <row r="20">
      <c r="A20" s="2" t="s">
        <v>31</v>
      </c>
      <c r="B20" s="3" t="s">
        <v>3</v>
      </c>
      <c r="F20" s="18" t="s">
        <v>32</v>
      </c>
      <c r="G20" s="9"/>
      <c r="H20" s="9"/>
      <c r="I20" s="10"/>
    </row>
    <row r="21">
      <c r="A21" s="2" t="s">
        <v>33</v>
      </c>
      <c r="B21" s="3" t="s">
        <v>3</v>
      </c>
      <c r="F21" s="15" t="s">
        <v>34</v>
      </c>
      <c r="G21" s="9"/>
      <c r="H21" s="9"/>
      <c r="I21" s="10"/>
    </row>
    <row r="22">
      <c r="A22" s="2" t="s">
        <v>35</v>
      </c>
      <c r="B22" s="3" t="s">
        <v>3</v>
      </c>
      <c r="F22" s="15" t="s">
        <v>36</v>
      </c>
      <c r="G22" s="9"/>
      <c r="H22" s="9"/>
      <c r="I22" s="10"/>
    </row>
    <row r="23">
      <c r="A23" s="2" t="s">
        <v>37</v>
      </c>
      <c r="B23" s="3" t="s">
        <v>3</v>
      </c>
      <c r="F23" s="15" t="s">
        <v>38</v>
      </c>
      <c r="G23" s="9"/>
      <c r="H23" s="9"/>
      <c r="I23" s="10"/>
    </row>
    <row r="24">
      <c r="A24" s="2" t="s">
        <v>39</v>
      </c>
      <c r="B24" s="3" t="s">
        <v>3</v>
      </c>
      <c r="F24" s="15"/>
      <c r="G24" s="9"/>
      <c r="H24" s="9"/>
      <c r="I24" s="10"/>
    </row>
    <row r="25">
      <c r="A25" s="2" t="s">
        <v>40</v>
      </c>
      <c r="B25" s="3" t="s">
        <v>3</v>
      </c>
      <c r="F25" s="15"/>
      <c r="G25" s="9"/>
      <c r="H25" s="9"/>
      <c r="I25" s="10"/>
    </row>
    <row r="26">
      <c r="A26" s="11"/>
      <c r="B26" s="3" t="s">
        <v>3</v>
      </c>
    </row>
    <row r="27">
      <c r="A27" s="2" t="s">
        <v>41</v>
      </c>
      <c r="B27" s="3" t="s">
        <v>3</v>
      </c>
    </row>
    <row r="28">
      <c r="A28" s="2" t="s">
        <v>42</v>
      </c>
      <c r="B28" s="3" t="s">
        <v>3</v>
      </c>
    </row>
    <row r="29">
      <c r="A29" s="2" t="s">
        <v>43</v>
      </c>
      <c r="B29" s="3" t="s">
        <v>3</v>
      </c>
    </row>
    <row r="30">
      <c r="A30" s="2" t="s">
        <v>44</v>
      </c>
      <c r="B30" s="3" t="s">
        <v>3</v>
      </c>
    </row>
    <row r="31">
      <c r="A31" s="2" t="s">
        <v>45</v>
      </c>
      <c r="B31" s="3" t="s">
        <v>3</v>
      </c>
    </row>
    <row r="32">
      <c r="A32" s="2" t="s">
        <v>46</v>
      </c>
      <c r="B32" s="3" t="s">
        <v>3</v>
      </c>
    </row>
    <row r="33">
      <c r="A33" s="11"/>
      <c r="B33" s="3" t="s">
        <v>3</v>
      </c>
    </row>
    <row r="34">
      <c r="A34" s="2" t="s">
        <v>47</v>
      </c>
      <c r="B34" s="3" t="s">
        <v>3</v>
      </c>
    </row>
    <row r="35">
      <c r="A35" s="2" t="s">
        <v>48</v>
      </c>
      <c r="B35" s="3" t="s">
        <v>3</v>
      </c>
    </row>
    <row r="36">
      <c r="A36" s="2" t="s">
        <v>49</v>
      </c>
      <c r="B36" s="3" t="s">
        <v>3</v>
      </c>
    </row>
    <row r="37">
      <c r="A37" s="2" t="s">
        <v>50</v>
      </c>
      <c r="B37" s="3" t="s">
        <v>3</v>
      </c>
    </row>
    <row r="38">
      <c r="A38" s="2" t="s">
        <v>51</v>
      </c>
      <c r="B38" s="3" t="s">
        <v>3</v>
      </c>
    </row>
    <row r="39">
      <c r="A39" s="11"/>
      <c r="B39" s="3" t="s">
        <v>3</v>
      </c>
    </row>
    <row r="40">
      <c r="A40" s="2" t="s">
        <v>52</v>
      </c>
      <c r="B40" s="3" t="s">
        <v>3</v>
      </c>
    </row>
    <row r="41">
      <c r="A41" s="2" t="s">
        <v>53</v>
      </c>
      <c r="B41" s="3" t="s">
        <v>3</v>
      </c>
    </row>
    <row r="42">
      <c r="A42" s="2" t="s">
        <v>54</v>
      </c>
      <c r="B42" s="3" t="s">
        <v>3</v>
      </c>
    </row>
    <row r="43">
      <c r="A43" s="11"/>
      <c r="B43" s="3" t="s">
        <v>3</v>
      </c>
    </row>
    <row r="44">
      <c r="A44" s="2" t="s">
        <v>55</v>
      </c>
      <c r="B44" s="3" t="s">
        <v>3</v>
      </c>
    </row>
    <row r="45">
      <c r="A45" s="2" t="s">
        <v>56</v>
      </c>
      <c r="B45" s="3" t="s">
        <v>3</v>
      </c>
    </row>
    <row r="46">
      <c r="A46" s="2" t="s">
        <v>57</v>
      </c>
      <c r="B46" s="3" t="s">
        <v>3</v>
      </c>
    </row>
    <row r="47">
      <c r="A47" s="11"/>
      <c r="B47" s="3" t="s">
        <v>3</v>
      </c>
    </row>
    <row r="48">
      <c r="A48" s="2" t="s">
        <v>58</v>
      </c>
      <c r="B48" s="3" t="s">
        <v>3</v>
      </c>
    </row>
    <row r="49">
      <c r="A49" s="2" t="s">
        <v>59</v>
      </c>
      <c r="B49" s="3" t="s">
        <v>3</v>
      </c>
    </row>
    <row r="50">
      <c r="B50" s="19"/>
    </row>
    <row r="51">
      <c r="B51" s="19"/>
    </row>
    <row r="52">
      <c r="B52" s="19"/>
    </row>
    <row r="53">
      <c r="B53" s="19"/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</sheetData>
  <mergeCells count="17">
    <mergeCell ref="H7:J7"/>
    <mergeCell ref="H8:J8"/>
    <mergeCell ref="H9:J9"/>
    <mergeCell ref="H10:J10"/>
    <mergeCell ref="F12:H12"/>
    <mergeCell ref="F13:G13"/>
    <mergeCell ref="F14:G14"/>
    <mergeCell ref="F15:G15"/>
    <mergeCell ref="F16:G16"/>
    <mergeCell ref="F17:G17"/>
    <mergeCell ref="F18:G18"/>
    <mergeCell ref="F20:I20"/>
    <mergeCell ref="F21:I21"/>
    <mergeCell ref="F22:I22"/>
    <mergeCell ref="F23:I23"/>
    <mergeCell ref="F24:I24"/>
    <mergeCell ref="F25:I25"/>
  </mergeCells>
  <conditionalFormatting sqref="B2:B49">
    <cfRule type="containsText" dxfId="0" priority="1" operator="containsText" text="ok">
      <formula>NOT(ISERROR(SEARCH(("ok"),(B2))))</formula>
    </cfRule>
  </conditionalFormatting>
  <conditionalFormatting sqref="B2:B49">
    <cfRule type="containsText" dxfId="1" priority="2" operator="containsText" text="ERRO">
      <formula>NOT(ISERROR(SEARCH(("ERRO"),(B2))))</formula>
    </cfRule>
  </conditionalFormatting>
  <hyperlinks>
    <hyperlink r:id="rId1" ref="H14"/>
    <hyperlink r:id="rId2" ref="H16"/>
    <hyperlink r:id="rId3" ref="H18"/>
  </hyperlinks>
  <drawing r:id="rId4"/>
</worksheet>
</file>